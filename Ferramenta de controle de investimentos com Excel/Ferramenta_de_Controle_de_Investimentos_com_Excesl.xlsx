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cto\OneDrive\Desktop\"/>
    </mc:Choice>
  </mc:AlternateContent>
  <bookViews>
    <workbookView xWindow="0" yWindow="0" windowWidth="23040" windowHeight="8496"/>
  </bookViews>
  <sheets>
    <sheet name="Simulador" sheetId="1" r:id="rId1"/>
    <sheet name="Tabela de Apoi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C28" i="1"/>
  <c r="C29" i="1"/>
  <c r="D29" i="1" s="1"/>
  <c r="C30" i="1"/>
  <c r="D30" i="1" s="1"/>
  <c r="C31" i="1"/>
  <c r="C32" i="1"/>
  <c r="C27" i="1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D7" i="1"/>
  <c r="C18" i="1"/>
  <c r="D18" i="1" s="1"/>
  <c r="C17" i="1"/>
  <c r="D17" i="1" s="1"/>
  <c r="C19" i="1"/>
  <c r="D19" i="1" s="1"/>
  <c r="C20" i="1"/>
  <c r="D20" i="1" s="1"/>
  <c r="C21" i="1"/>
  <c r="D21" i="1" s="1"/>
  <c r="D13" i="1"/>
  <c r="D14" i="1" s="1"/>
  <c r="D28" i="1" l="1"/>
  <c r="D27" i="1"/>
  <c r="D32" i="1"/>
  <c r="D31" i="1"/>
  <c r="D33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<sst xmlns="http://schemas.openxmlformats.org/spreadsheetml/2006/main" count="69" uniqueCount="33">
  <si>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</si>
  <si>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</si>
  <si>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</si>
  <si>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</si>
  <si>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</t>
  </si>
  <si>
    <t>Dividendo Mensais</t>
  </si>
  <si>
    <t>Quanto em 2 anos?</t>
  </si>
  <si>
    <t>Cenários</t>
  </si>
  <si>
    <t>Quanto em 5 anos?</t>
  </si>
  <si>
    <t>Quanto em 10 anos?</t>
  </si>
  <si>
    <t>Quanto em 20 anos?</t>
  </si>
  <si>
    <t>Quanto em 30 anos?</t>
  </si>
  <si>
    <t>Dividendo</t>
  </si>
  <si>
    <t>Variáveis</t>
  </si>
  <si>
    <t>Salário</t>
  </si>
  <si>
    <t>Rendimento Carteira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</si>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</sst>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6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ck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/>
      <top style="thin">
        <color theme="0" tint="-0.14996795556505021"/>
      </top>
      <bottom style="thick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1499679555650502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theme="0" tint="-0.14996795556505021"/>
      </top>
      <bottom style="thick">
        <color auto="1"/>
      </bottom>
      <diagonal/>
    </border>
    <border>
      <left style="thick">
        <color auto="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 style="thin">
        <color theme="0" tint="-0.24994659260841701"/>
      </right>
      <top/>
      <bottom style="thin">
        <color theme="0" tint="-0.1499679555650502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1499679555650502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thick">
        <color auto="1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n">
        <color theme="0" tint="-0.14996795556505021"/>
      </right>
      <top style="thick">
        <color auto="1"/>
      </top>
      <bottom/>
      <diagonal/>
    </border>
    <border>
      <left style="thin">
        <color theme="0" tint="-0.14996795556505021"/>
      </left>
      <right/>
      <top style="thick">
        <color auto="1"/>
      </top>
      <bottom/>
      <diagonal/>
    </border>
    <border>
      <left style="thick">
        <color auto="1"/>
      </left>
      <right style="thin">
        <color theme="0" tint="-0.14996795556505021"/>
      </right>
      <top/>
      <bottom/>
      <diagonal/>
    </border>
    <border>
      <left style="thick">
        <color auto="1"/>
      </left>
      <right style="thin">
        <color theme="0" tint="-0.14996795556505021"/>
      </right>
      <top/>
      <bottom style="thick">
        <color auto="1"/>
      </bottom>
      <diagonal/>
    </border>
    <border>
      <left style="thin">
        <color theme="0" tint="-0.14996795556505021"/>
      </left>
      <right style="thin">
        <color theme="0" tint="-0.14993743705557422"/>
      </right>
      <top style="thick">
        <color auto="1"/>
      </top>
      <bottom/>
      <diagonal/>
    </border>
    <border>
      <left style="thin">
        <color theme="0" tint="-0.14993743705557422"/>
      </left>
      <right style="thick">
        <color auto="1"/>
      </right>
      <top style="thick">
        <color auto="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ck">
        <color auto="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ck">
        <color auto="1"/>
      </bottom>
      <diagonal/>
    </border>
    <border>
      <left style="thin">
        <color theme="0" tint="-0.14993743705557422"/>
      </left>
      <right style="thick">
        <color auto="1"/>
      </right>
      <top/>
      <bottom style="thick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auto="1"/>
      </bottom>
      <diagonal/>
    </border>
    <border>
      <left style="thin">
        <color theme="0" tint="-0.14996795556505021"/>
      </left>
      <right style="thick">
        <color auto="1"/>
      </right>
      <top/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0" fontId="2" fillId="5" borderId="6" xfId="0" applyNumberFormat="1" applyFont="1" applyFill="1" applyBorder="1" applyAlignment="1">
      <alignment horizontal="center" vertical="center"/>
    </xf>
    <xf numFmtId="8" fontId="2" fillId="3" borderId="6" xfId="0" applyNumberFormat="1" applyFont="1" applyFill="1" applyBorder="1" applyAlignment="1">
      <alignment horizontal="center" vertical="center"/>
    </xf>
    <xf numFmtId="164" fontId="2" fillId="5" borderId="5" xfId="1" applyNumberFormat="1" applyFont="1" applyFill="1" applyBorder="1" applyAlignment="1">
      <alignment horizontal="center" vertical="center"/>
    </xf>
    <xf numFmtId="8" fontId="2" fillId="3" borderId="7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4" fillId="2" borderId="9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Continuous" vertical="center"/>
    </xf>
    <xf numFmtId="0" fontId="4" fillId="9" borderId="1" xfId="0" applyFont="1" applyFill="1" applyBorder="1" applyAlignment="1">
      <alignment horizontal="centerContinuous" vertical="center"/>
    </xf>
    <xf numFmtId="0" fontId="6" fillId="9" borderId="2" xfId="0" applyFont="1" applyFill="1" applyBorder="1" applyAlignment="1">
      <alignment horizontal="centerContinuous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Continuous" vertical="center"/>
    </xf>
    <xf numFmtId="8" fontId="2" fillId="3" borderId="12" xfId="0" applyNumberFormat="1" applyFont="1" applyFill="1" applyBorder="1" applyAlignment="1">
      <alignment horizontal="center" vertical="center"/>
    </xf>
    <xf numFmtId="8" fontId="2" fillId="3" borderId="15" xfId="0" applyNumberFormat="1" applyFont="1" applyFill="1" applyBorder="1" applyAlignment="1">
      <alignment horizontal="center" vertical="center"/>
    </xf>
    <xf numFmtId="8" fontId="2" fillId="3" borderId="13" xfId="0" applyNumberFormat="1" applyFont="1" applyFill="1" applyBorder="1" applyAlignment="1">
      <alignment horizontal="center" vertical="center"/>
    </xf>
    <xf numFmtId="8" fontId="2" fillId="3" borderId="16" xfId="0" applyNumberFormat="1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Continuous" vertical="center"/>
    </xf>
    <xf numFmtId="0" fontId="0" fillId="8" borderId="11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7" xfId="0" applyFill="1" applyBorder="1" applyAlignment="1">
      <alignment horizontal="centerContinuous" vertical="center"/>
    </xf>
    <xf numFmtId="0" fontId="0" fillId="8" borderId="18" xfId="0" applyFill="1" applyBorder="1" applyAlignment="1">
      <alignment horizontal="centerContinuous" vertical="center"/>
    </xf>
    <xf numFmtId="0" fontId="0" fillId="8" borderId="11" xfId="0" applyFill="1" applyBorder="1" applyAlignment="1">
      <alignment horizontal="centerContinuous" vertical="center"/>
    </xf>
    <xf numFmtId="0" fontId="0" fillId="8" borderId="19" xfId="0" applyFill="1" applyBorder="1" applyAlignment="1">
      <alignment horizontal="centerContinuous" vertical="center"/>
    </xf>
    <xf numFmtId="0" fontId="0" fillId="8" borderId="14" xfId="0" applyFill="1" applyBorder="1" applyAlignment="1">
      <alignment horizontal="centerContinuous" vertical="center"/>
    </xf>
    <xf numFmtId="0" fontId="0" fillId="8" borderId="20" xfId="0" applyFill="1" applyBorder="1" applyAlignment="1">
      <alignment horizontal="centerContinuous" vertical="center"/>
    </xf>
    <xf numFmtId="0" fontId="0" fillId="8" borderId="21" xfId="0" applyFill="1" applyBorder="1" applyAlignment="1">
      <alignment horizontal="centerContinuous" vertical="center"/>
    </xf>
    <xf numFmtId="0" fontId="0" fillId="8" borderId="22" xfId="0" applyFill="1" applyBorder="1" applyAlignment="1">
      <alignment horizontal="centerContinuous" vertical="center"/>
    </xf>
    <xf numFmtId="0" fontId="0" fillId="8" borderId="23" xfId="0" applyFill="1" applyBorder="1" applyAlignment="1">
      <alignment horizontal="centerContinuous" vertical="center"/>
    </xf>
    <xf numFmtId="0" fontId="0" fillId="8" borderId="24" xfId="0" applyFill="1" applyBorder="1" applyAlignment="1">
      <alignment horizontal="centerContinuous" vertical="center"/>
    </xf>
    <xf numFmtId="0" fontId="2" fillId="8" borderId="23" xfId="0" applyFont="1" applyFill="1" applyBorder="1" applyAlignment="1">
      <alignment horizontal="centerContinuous" vertical="center"/>
    </xf>
    <xf numFmtId="0" fontId="0" fillId="8" borderId="25" xfId="0" applyFill="1" applyBorder="1" applyAlignment="1">
      <alignment horizontal="centerContinuous" vertical="center"/>
    </xf>
    <xf numFmtId="0" fontId="2" fillId="8" borderId="26" xfId="0" applyFont="1" applyFill="1" applyBorder="1" applyAlignment="1">
      <alignment horizontal="centerContinuous" vertical="center"/>
    </xf>
    <xf numFmtId="0" fontId="0" fillId="8" borderId="27" xfId="0" applyFill="1" applyBorder="1" applyAlignment="1">
      <alignment horizontal="centerContinuous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28" xfId="0" applyBorder="1"/>
    <xf numFmtId="0" fontId="0" fillId="0" borderId="8" xfId="0" applyBorder="1"/>
    <xf numFmtId="2" fontId="0" fillId="0" borderId="0" xfId="0" applyNumberFormat="1"/>
    <xf numFmtId="0" fontId="7" fillId="10" borderId="29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4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164" fontId="0" fillId="4" borderId="39" xfId="0" applyNumberFormat="1" applyFill="1" applyBorder="1" applyAlignment="1">
      <alignment horizontal="centerContinuous" vertical="center"/>
    </xf>
    <xf numFmtId="0" fontId="0" fillId="4" borderId="40" xfId="0" applyFill="1" applyBorder="1" applyAlignment="1">
      <alignment horizontal="centerContinuous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9" fontId="0" fillId="3" borderId="35" xfId="2" applyFont="1" applyFill="1" applyBorder="1" applyAlignment="1">
      <alignment horizontal="center" vertical="center"/>
    </xf>
    <xf numFmtId="164" fontId="0" fillId="3" borderId="36" xfId="0" applyNumberFormat="1" applyFill="1" applyBorder="1" applyAlignment="1">
      <alignment horizontal="center" vertical="center"/>
    </xf>
    <xf numFmtId="0" fontId="0" fillId="10" borderId="32" xfId="0" applyFill="1" applyBorder="1" applyAlignment="1">
      <alignment horizontal="center" vertical="center"/>
    </xf>
    <xf numFmtId="0" fontId="0" fillId="10" borderId="37" xfId="0" applyFill="1" applyBorder="1" applyAlignment="1">
      <alignment horizontal="center" vertical="center"/>
    </xf>
    <xf numFmtId="164" fontId="2" fillId="10" borderId="38" xfId="0" applyNumberFormat="1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BCF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4"/>
  <sheetViews>
    <sheetView showGridLines="0" tabSelected="1" topLeftCell="A13" workbookViewId="0">
      <selection activeCell="F25" sqref="F25"/>
    </sheetView>
  </sheetViews>
  <sheetFormatPr defaultColWidth="0" defaultRowHeight="14.4" x14ac:dyDescent="0.3"/>
  <cols>
    <col min="1" max="1" width="3.5546875" customWidth="1"/>
    <col min="2" max="2" width="31.33203125" bestFit="1" customWidth="1"/>
    <col min="3" max="3" width="16.88671875" bestFit="1" customWidth="1"/>
    <col min="4" max="4" width="17.33203125" bestFit="1" customWidth="1"/>
    <col min="5" max="5" width="19.6640625" bestFit="1" customWidth="1"/>
    <col min="6" max="6" width="10.5546875" bestFit="1" customWidth="1"/>
    <col min="7" max="10" width="0" hidden="1" customWidth="1"/>
    <col min="11" max="16384" width="8.88671875" hidden="1"/>
  </cols>
  <sheetData>
    <row r="3" spans="2:4" ht="15" thickBot="1" x14ac:dyDescent="0.35"/>
    <row r="4" spans="2:4" ht="26.4" thickTop="1" x14ac:dyDescent="0.3">
      <c r="B4" s="12" t="s">
        <v>13</v>
      </c>
      <c r="C4" s="20"/>
      <c r="D4" s="13"/>
    </row>
    <row r="5" spans="2:4" x14ac:dyDescent="0.3">
      <c r="B5" s="23" t="s">
        <v>14</v>
      </c>
      <c r="C5" s="24"/>
      <c r="D5" s="14">
        <v>4200</v>
      </c>
    </row>
    <row r="6" spans="2:4" x14ac:dyDescent="0.3">
      <c r="B6" s="25" t="s">
        <v>15</v>
      </c>
      <c r="C6" s="26"/>
      <c r="D6" s="50">
        <v>6.0000000000000001E-3</v>
      </c>
    </row>
    <row r="7" spans="2:4" ht="15" thickBot="1" x14ac:dyDescent="0.35">
      <c r="B7" s="27" t="s">
        <v>32</v>
      </c>
      <c r="C7" s="28"/>
      <c r="D7" s="37">
        <f>D5*0.3</f>
        <v>1260</v>
      </c>
    </row>
    <row r="8" spans="2:4" ht="15.6" thickTop="1" thickBot="1" x14ac:dyDescent="0.35">
      <c r="B8" s="1"/>
      <c r="C8" s="1"/>
      <c r="D8" s="1"/>
    </row>
    <row r="9" spans="2:4" ht="42.6" customHeight="1" thickTop="1" x14ac:dyDescent="0.3">
      <c r="B9" s="8" t="s">
        <v>0</v>
      </c>
      <c r="C9" s="15"/>
      <c r="D9" s="11"/>
    </row>
    <row r="10" spans="2:4" x14ac:dyDescent="0.3">
      <c r="B10" s="29" t="s">
        <v>1</v>
      </c>
      <c r="C10" s="30"/>
      <c r="D10" s="5">
        <v>1260</v>
      </c>
    </row>
    <row r="11" spans="2:4" x14ac:dyDescent="0.3">
      <c r="B11" s="31" t="s">
        <v>2</v>
      </c>
      <c r="C11" s="32"/>
      <c r="D11" s="2">
        <v>10</v>
      </c>
    </row>
    <row r="12" spans="2:4" x14ac:dyDescent="0.3">
      <c r="B12" s="31" t="s">
        <v>3</v>
      </c>
      <c r="C12" s="32"/>
      <c r="D12" s="3">
        <v>1.0789999999999999E-2</v>
      </c>
    </row>
    <row r="13" spans="2:4" x14ac:dyDescent="0.3">
      <c r="B13" s="33" t="s">
        <v>4</v>
      </c>
      <c r="C13" s="34"/>
      <c r="D13" s="4">
        <f>FV($D$12,$D$11 * 12,-$D$10)</f>
        <v>306538.10778801696</v>
      </c>
    </row>
    <row r="14" spans="2:4" ht="15" thickBot="1" x14ac:dyDescent="0.35">
      <c r="B14" s="35" t="s">
        <v>5</v>
      </c>
      <c r="C14" s="36"/>
      <c r="D14" s="6">
        <f>D13*D6</f>
        <v>1839.2286467281017</v>
      </c>
    </row>
    <row r="15" spans="2:4" ht="15.6" thickTop="1" thickBot="1" x14ac:dyDescent="0.35">
      <c r="B15" s="1"/>
      <c r="C15" s="1"/>
      <c r="D15" s="1"/>
    </row>
    <row r="16" spans="2:4" ht="36" customHeight="1" thickTop="1" x14ac:dyDescent="0.3">
      <c r="B16" s="8" t="s">
        <v>7</v>
      </c>
      <c r="C16" s="9"/>
      <c r="D16" s="10" t="s">
        <v>12</v>
      </c>
    </row>
    <row r="17" spans="1:4" x14ac:dyDescent="0.3">
      <c r="A17" s="7">
        <v>2</v>
      </c>
      <c r="B17" s="21" t="s">
        <v>6</v>
      </c>
      <c r="C17" s="16">
        <f>FV($D$12,A17 * 12,-$D$10)</f>
        <v>34306.810395032975</v>
      </c>
      <c r="D17" s="18">
        <f>C17*$D$6</f>
        <v>205.84086237019787</v>
      </c>
    </row>
    <row r="18" spans="1:4" x14ac:dyDescent="0.3">
      <c r="A18" s="7">
        <v>5</v>
      </c>
      <c r="B18" s="21" t="s">
        <v>8</v>
      </c>
      <c r="C18" s="16">
        <f>FV($D$12,A18 * 12,-$D$10)</f>
        <v>105558.91163809443</v>
      </c>
      <c r="D18" s="18">
        <f>C18*$D$6</f>
        <v>633.35346982856663</v>
      </c>
    </row>
    <row r="19" spans="1:4" x14ac:dyDescent="0.3">
      <c r="A19" s="7">
        <v>10</v>
      </c>
      <c r="B19" s="21" t="s">
        <v>9</v>
      </c>
      <c r="C19" s="16">
        <f>FV($D$12,A19 * 12,-$D$10)</f>
        <v>306538.10778801696</v>
      </c>
      <c r="D19" s="18">
        <f>C19*$D$6</f>
        <v>1839.2286467281017</v>
      </c>
    </row>
    <row r="20" spans="1:4" x14ac:dyDescent="0.3">
      <c r="A20" s="7">
        <v>20</v>
      </c>
      <c r="B20" s="21" t="s">
        <v>10</v>
      </c>
      <c r="C20" s="16">
        <f>FV($D$12,A20 * 12,-$D$10)</f>
        <v>1417749.9841223215</v>
      </c>
      <c r="D20" s="18">
        <f>C20*$D$6</f>
        <v>8506.4999047339297</v>
      </c>
    </row>
    <row r="21" spans="1:4" ht="15" thickBot="1" x14ac:dyDescent="0.35">
      <c r="A21" s="7">
        <v>30</v>
      </c>
      <c r="B21" s="22" t="s">
        <v>11</v>
      </c>
      <c r="C21" s="17">
        <f>FV($D$12,A21 * 12,-$D$10)</f>
        <v>5445933.7653059401</v>
      </c>
      <c r="D21" s="19">
        <f>C21*$D$6</f>
        <v>32675.602591835643</v>
      </c>
    </row>
    <row r="22" spans="1:4" ht="15.6" thickTop="1" thickBot="1" x14ac:dyDescent="0.35"/>
    <row r="23" spans="1:4" ht="24" thickTop="1" x14ac:dyDescent="0.3">
      <c r="B23" s="45" t="s">
        <v>16</v>
      </c>
      <c r="C23" s="48" t="s">
        <v>17</v>
      </c>
      <c r="D23" s="49"/>
    </row>
    <row r="24" spans="1:4" ht="15" thickBot="1" x14ac:dyDescent="0.35">
      <c r="B24" s="57" t="s">
        <v>20</v>
      </c>
      <c r="C24" s="46">
        <f>D10</f>
        <v>1260</v>
      </c>
      <c r="D24" s="47"/>
    </row>
    <row r="25" spans="1:4" ht="15.6" customHeight="1" thickTop="1" thickBot="1" x14ac:dyDescent="0.35">
      <c r="B25" s="1"/>
      <c r="C25" s="1"/>
      <c r="D25" s="1"/>
    </row>
    <row r="26" spans="1:4" ht="15" thickTop="1" x14ac:dyDescent="0.3">
      <c r="B26" s="42" t="s">
        <v>21</v>
      </c>
      <c r="C26" s="43" t="s">
        <v>22</v>
      </c>
      <c r="D26" s="44" t="s">
        <v>23</v>
      </c>
    </row>
    <row r="27" spans="1:4" x14ac:dyDescent="0.3">
      <c r="B27" s="51" t="s">
        <v>24</v>
      </c>
      <c r="C27" s="52">
        <f>VLOOKUP($C$23&amp;"-"&amp;B27,'Tabela de Apoio'!A3:D21,4,FALSE)</f>
        <v>0.5</v>
      </c>
      <c r="D27" s="53">
        <f>$C$24*C27</f>
        <v>630</v>
      </c>
    </row>
    <row r="28" spans="1:4" x14ac:dyDescent="0.3">
      <c r="B28" s="51" t="s">
        <v>25</v>
      </c>
      <c r="C28" s="52">
        <f>VLOOKUP($C$23&amp;"-"&amp;B28,'Tabela de Apoio'!A4:D22,4,FALSE)</f>
        <v>0.1</v>
      </c>
      <c r="D28" s="53">
        <f>$C$24*C28</f>
        <v>126</v>
      </c>
    </row>
    <row r="29" spans="1:4" x14ac:dyDescent="0.3">
      <c r="B29" s="51" t="s">
        <v>26</v>
      </c>
      <c r="C29" s="52">
        <f>VLOOKUP($C$23&amp;"-"&amp;B29,'Tabela de Apoio'!A5:D23,4,FALSE)</f>
        <v>0.05</v>
      </c>
      <c r="D29" s="53">
        <f>$C$24*C29</f>
        <v>63</v>
      </c>
    </row>
    <row r="30" spans="1:4" x14ac:dyDescent="0.3">
      <c r="B30" s="51" t="s">
        <v>27</v>
      </c>
      <c r="C30" s="52">
        <f>VLOOKUP($C$23&amp;"-"&amp;B30,'Tabela de Apoio'!A6:D24,4,FALSE)</f>
        <v>0.05</v>
      </c>
      <c r="D30" s="53">
        <f>$C$24*C30</f>
        <v>63</v>
      </c>
    </row>
    <row r="31" spans="1:4" x14ac:dyDescent="0.3">
      <c r="B31" s="51" t="s">
        <v>28</v>
      </c>
      <c r="C31" s="52">
        <f>VLOOKUP($C$23&amp;"-"&amp;B31,'Tabela de Apoio'!A7:D25,4,FALSE)</f>
        <v>0.2</v>
      </c>
      <c r="D31" s="53">
        <f>$C$24*C31</f>
        <v>252</v>
      </c>
    </row>
    <row r="32" spans="1:4" x14ac:dyDescent="0.3">
      <c r="B32" s="51" t="s">
        <v>29</v>
      </c>
      <c r="C32" s="52">
        <f>VLOOKUP($C$23&amp;"-"&amp;B32,'Tabela de Apoio'!A8:D26,4,FALSE)</f>
        <v>0.1</v>
      </c>
      <c r="D32" s="53">
        <f>$C$24*C32</f>
        <v>126</v>
      </c>
    </row>
    <row r="33" spans="2:4" ht="15" thickBot="1" x14ac:dyDescent="0.35">
      <c r="B33" s="54"/>
      <c r="C33" s="55"/>
      <c r="D33" s="56">
        <f>SUM(D27:D32)</f>
        <v>1260</v>
      </c>
    </row>
    <row r="34" spans="2:4" ht="15" thickTop="1" x14ac:dyDescent="0.3"/>
  </sheetData>
  <mergeCells count="1">
    <mergeCell ref="C23:D23"/>
  </mergeCells>
  <dataValidations count="1">
    <dataValidation type="list" allowBlank="1" showInputMessage="1" showErrorMessage="1" sqref="C23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1"/>
  <sheetViews>
    <sheetView workbookViewId="0">
      <selection activeCell="D14" sqref="D14"/>
    </sheetView>
  </sheetViews>
  <sheetFormatPr defaultRowHeight="14.4" x14ac:dyDescent="0.3"/>
  <cols>
    <col min="1" max="1" width="26.5546875" bestFit="1" customWidth="1"/>
    <col min="2" max="2" width="11.33203125" bestFit="1" customWidth="1"/>
    <col min="3" max="3" width="15.21875" bestFit="1" customWidth="1"/>
    <col min="4" max="4" width="4.5546875" bestFit="1" customWidth="1"/>
  </cols>
  <sheetData>
    <row r="3" spans="1:4" x14ac:dyDescent="0.3">
      <c r="A3" t="s">
        <v>31</v>
      </c>
      <c r="B3" t="s">
        <v>16</v>
      </c>
      <c r="C3" t="s">
        <v>21</v>
      </c>
      <c r="D3" t="s">
        <v>30</v>
      </c>
    </row>
    <row r="4" spans="1:4" x14ac:dyDescent="0.3">
      <c r="A4" t="str">
        <f>B4&amp;"-"&amp;C4</f>
        <v>Conservador-Papel</v>
      </c>
      <c r="B4" t="s">
        <v>18</v>
      </c>
      <c r="C4" t="s">
        <v>24</v>
      </c>
      <c r="D4" s="41">
        <v>0.3</v>
      </c>
    </row>
    <row r="5" spans="1:4" x14ac:dyDescent="0.3">
      <c r="A5" t="str">
        <f t="shared" ref="A5:A21" si="0">B5&amp;"-"&amp;C5</f>
        <v>Conservador-Tijolo</v>
      </c>
      <c r="B5" t="s">
        <v>18</v>
      </c>
      <c r="C5" t="s">
        <v>25</v>
      </c>
      <c r="D5" s="41">
        <v>0.5</v>
      </c>
    </row>
    <row r="6" spans="1:4" x14ac:dyDescent="0.3">
      <c r="A6" t="str">
        <f t="shared" si="0"/>
        <v>Conservador-Híbridos</v>
      </c>
      <c r="B6" t="s">
        <v>18</v>
      </c>
      <c r="C6" t="s">
        <v>26</v>
      </c>
      <c r="D6" s="41">
        <v>0.1</v>
      </c>
    </row>
    <row r="7" spans="1:4" x14ac:dyDescent="0.3">
      <c r="A7" t="str">
        <f t="shared" si="0"/>
        <v>Conservador-FOFs</v>
      </c>
      <c r="B7" t="s">
        <v>18</v>
      </c>
      <c r="C7" t="s">
        <v>27</v>
      </c>
      <c r="D7" s="41">
        <v>0.1</v>
      </c>
    </row>
    <row r="8" spans="1:4" x14ac:dyDescent="0.3">
      <c r="A8" t="str">
        <f t="shared" si="0"/>
        <v>Conservador-Desenvolvimento</v>
      </c>
      <c r="B8" t="s">
        <v>18</v>
      </c>
      <c r="C8" t="s">
        <v>28</v>
      </c>
      <c r="D8" s="41">
        <v>0</v>
      </c>
    </row>
    <row r="9" spans="1:4" ht="15" thickBot="1" x14ac:dyDescent="0.35">
      <c r="A9" t="str">
        <f t="shared" si="0"/>
        <v>Conservador-Hotelarias</v>
      </c>
      <c r="B9" t="s">
        <v>18</v>
      </c>
      <c r="C9" t="s">
        <v>29</v>
      </c>
      <c r="D9" s="41">
        <v>0</v>
      </c>
    </row>
    <row r="10" spans="1:4" ht="15" thickTop="1" x14ac:dyDescent="0.3">
      <c r="A10" s="40" t="str">
        <f t="shared" si="0"/>
        <v>Moderado-Papel</v>
      </c>
      <c r="B10" s="40" t="s">
        <v>19</v>
      </c>
      <c r="C10" s="40" t="s">
        <v>24</v>
      </c>
      <c r="D10" s="41">
        <v>0.32</v>
      </c>
    </row>
    <row r="11" spans="1:4" x14ac:dyDescent="0.3">
      <c r="A11" s="38" t="str">
        <f t="shared" si="0"/>
        <v>Moderado-Tijolo</v>
      </c>
      <c r="B11" s="38" t="s">
        <v>19</v>
      </c>
      <c r="C11" s="38" t="s">
        <v>25</v>
      </c>
      <c r="D11" s="41">
        <v>0.4</v>
      </c>
    </row>
    <row r="12" spans="1:4" x14ac:dyDescent="0.3">
      <c r="A12" s="38" t="str">
        <f t="shared" si="0"/>
        <v>Moderado-Híbridos</v>
      </c>
      <c r="B12" s="38" t="s">
        <v>19</v>
      </c>
      <c r="C12" s="38" t="s">
        <v>26</v>
      </c>
      <c r="D12" s="41">
        <v>0.08</v>
      </c>
    </row>
    <row r="13" spans="1:4" x14ac:dyDescent="0.3">
      <c r="A13" s="38" t="str">
        <f t="shared" si="0"/>
        <v>Moderado-FOFs</v>
      </c>
      <c r="B13" s="38" t="s">
        <v>19</v>
      </c>
      <c r="C13" s="38" t="s">
        <v>27</v>
      </c>
      <c r="D13" s="41">
        <v>0.05</v>
      </c>
    </row>
    <row r="14" spans="1:4" x14ac:dyDescent="0.3">
      <c r="A14" s="38" t="str">
        <f t="shared" si="0"/>
        <v>Moderado-Desenvolvimento</v>
      </c>
      <c r="B14" s="38" t="s">
        <v>19</v>
      </c>
      <c r="C14" s="38" t="s">
        <v>28</v>
      </c>
      <c r="D14" s="41">
        <v>0.05</v>
      </c>
    </row>
    <row r="15" spans="1:4" ht="15" thickBot="1" x14ac:dyDescent="0.35">
      <c r="A15" s="39" t="str">
        <f t="shared" si="0"/>
        <v>Moderado-Hotelarias</v>
      </c>
      <c r="B15" s="39" t="s">
        <v>19</v>
      </c>
      <c r="C15" s="39" t="s">
        <v>29</v>
      </c>
      <c r="D15" s="41">
        <v>0.1</v>
      </c>
    </row>
    <row r="16" spans="1:4" x14ac:dyDescent="0.3">
      <c r="A16" t="str">
        <f t="shared" si="0"/>
        <v>Agressivo-Papel</v>
      </c>
      <c r="B16" t="s">
        <v>17</v>
      </c>
      <c r="C16" t="s">
        <v>24</v>
      </c>
      <c r="D16" s="41">
        <v>0.5</v>
      </c>
    </row>
    <row r="17" spans="1:4" x14ac:dyDescent="0.3">
      <c r="A17" t="str">
        <f t="shared" si="0"/>
        <v>Agressivo-Tijolo</v>
      </c>
      <c r="B17" t="s">
        <v>17</v>
      </c>
      <c r="C17" t="s">
        <v>25</v>
      </c>
      <c r="D17" s="41">
        <v>0.1</v>
      </c>
    </row>
    <row r="18" spans="1:4" x14ac:dyDescent="0.3">
      <c r="A18" t="str">
        <f t="shared" si="0"/>
        <v>Agressivo-Híbridos</v>
      </c>
      <c r="B18" t="s">
        <v>17</v>
      </c>
      <c r="C18" t="s">
        <v>26</v>
      </c>
      <c r="D18" s="41">
        <v>0.05</v>
      </c>
    </row>
    <row r="19" spans="1:4" x14ac:dyDescent="0.3">
      <c r="A19" t="str">
        <f t="shared" si="0"/>
        <v>Agressivo-FOFs</v>
      </c>
      <c r="B19" t="s">
        <v>17</v>
      </c>
      <c r="C19" t="s">
        <v>27</v>
      </c>
      <c r="D19" s="41">
        <v>0.05</v>
      </c>
    </row>
    <row r="20" spans="1:4" x14ac:dyDescent="0.3">
      <c r="A20" t="str">
        <f t="shared" si="0"/>
        <v>Agressivo-Desenvolvimento</v>
      </c>
      <c r="B20" t="s">
        <v>17</v>
      </c>
      <c r="C20" t="s">
        <v>28</v>
      </c>
      <c r="D20" s="41">
        <v>0.2</v>
      </c>
    </row>
    <row r="21" spans="1:4" x14ac:dyDescent="0.3">
      <c r="A21" t="str">
        <f t="shared" si="0"/>
        <v>Agressivo-Hotelarias</v>
      </c>
      <c r="B21" t="s">
        <v>17</v>
      </c>
      <c r="C21" t="s">
        <v>29</v>
      </c>
      <c r="D21" s="4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</vt:lpstr>
      <vt:lpstr>Tabela de 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sabo</dc:creator>
  <cp:lastModifiedBy>victor sabo</cp:lastModifiedBy>
  <dcterms:created xsi:type="dcterms:W3CDTF">2026-08-07T20:36:35Z</dcterms:created>
  <dcterms:modified xsi:type="dcterms:W3CDTF">2026-08-07T21:41:16Z</dcterms:modified>
</cp:coreProperties>
</file>