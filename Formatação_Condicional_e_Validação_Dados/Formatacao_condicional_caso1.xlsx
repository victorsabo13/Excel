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\OneDrive\Desktop\"/>
    </mc:Choice>
  </mc:AlternateContent>
  <bookViews>
    <workbookView xWindow="0" yWindow="0" windowWidth="23040" windowHeight="8496"/>
  </bookViews>
  <sheets>
    <sheet name="dataset_impostos_case_situation" sheetId="1" r:id="rId1"/>
    <sheet name="Base_normalização_Ctg_Prof" sheetId="2" r:id="rId2"/>
  </sheets>
  <definedNames>
    <definedName name="_xlnm._FilterDatabase" localSheetId="0" hidden="1">dataset_impostos_case_situation!$E$5:$E$25</definedName>
  </definedNames>
  <calcPr calcId="0"/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6" i="1"/>
</calcChain>
</file>

<file path=xl/sharedStrings.xml><?xml version="1.0" encoding="utf-8"?>
<sst xmlns="http://schemas.openxmlformats.org/spreadsheetml/2006/main" count="36" uniqueCount="13">
  <si>
    <t>ID</t>
  </si>
  <si>
    <t>Renda_Anual</t>
  </si>
  <si>
    <t>Categoria_Profissional</t>
  </si>
  <si>
    <t>Percentual_Imposto</t>
  </si>
  <si>
    <t>CLT</t>
  </si>
  <si>
    <t>AutÃ´nomo</t>
  </si>
  <si>
    <t>EmpresÃ¡rio</t>
  </si>
  <si>
    <t>Autônomo</t>
  </si>
  <si>
    <t>Empresário</t>
  </si>
  <si>
    <t>De</t>
  </si>
  <si>
    <t>Para</t>
  </si>
  <si>
    <t xml:space="preserve">Pessoas que pagam mais de 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</si>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</sst>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normalize_categoria" displayName="normalize_categoria" ref="A1:B4" totalsRowShown="0">
  <autoFilter ref="A1:B4"/>
  <tableColumns count="2">
    <tableColumn id="1" name="De"/>
    <tableColumn id="2" name="Pa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Views>
    <sheetView tabSelected="1" workbookViewId="0">
      <selection activeCell="H15" sqref="H15"/>
    </sheetView>
  </sheetViews>
  <sheetFormatPr defaultRowHeight="14.4" x14ac:dyDescent="0.3"/>
  <cols>
    <col min="2" max="2" width="3" bestFit="1" customWidth="1"/>
    <col min="3" max="3" width="11.6640625" bestFit="1" customWidth="1"/>
    <col min="4" max="4" width="19.5546875" bestFit="1" customWidth="1"/>
    <col min="5" max="5" width="19.5546875" customWidth="1"/>
    <col min="6" max="6" width="17.6640625" bestFit="1" customWidth="1"/>
  </cols>
  <sheetData>
    <row r="2" spans="2:6" x14ac:dyDescent="0.3">
      <c r="C2" t="s">
        <v>11</v>
      </c>
      <c r="E2" s="1">
        <v>10</v>
      </c>
    </row>
    <row r="3" spans="2:6" x14ac:dyDescent="0.3">
      <c r="C3" t="s">
        <v>12</v>
      </c>
      <c r="E3" s="2" t="s">
        <v>7</v>
      </c>
    </row>
    <row r="5" spans="2:6" x14ac:dyDescent="0.3">
      <c r="B5" t="s">
        <v>0</v>
      </c>
      <c r="C5" t="s">
        <v>1</v>
      </c>
      <c r="D5" t="s">
        <v>2</v>
      </c>
      <c r="E5" t="s">
        <v>2</v>
      </c>
      <c r="F5" t="s">
        <v>3</v>
      </c>
    </row>
    <row r="6" spans="2:6" x14ac:dyDescent="0.3">
      <c r="B6">
        <v>1</v>
      </c>
      <c r="C6">
        <v>141958</v>
      </c>
      <c r="D6" t="s">
        <v>4</v>
      </c>
      <c r="E6" t="str">
        <f>VLOOKUP(D6,normalize_categoria[#All],2,FALSE)</f>
        <v>CLT</v>
      </c>
      <c r="F6">
        <v>28.56</v>
      </c>
    </row>
    <row r="7" spans="2:6" x14ac:dyDescent="0.3">
      <c r="B7">
        <v>2</v>
      </c>
      <c r="C7">
        <v>35795</v>
      </c>
      <c r="D7" t="s">
        <v>5</v>
      </c>
      <c r="E7" t="str">
        <f>VLOOKUP(D7,normalize_categoria[#All],2,FALSE)</f>
        <v>Autônomo</v>
      </c>
      <c r="F7">
        <v>10.99</v>
      </c>
    </row>
    <row r="8" spans="2:6" x14ac:dyDescent="0.3">
      <c r="B8">
        <v>3</v>
      </c>
      <c r="C8">
        <v>20860</v>
      </c>
      <c r="D8" t="s">
        <v>4</v>
      </c>
      <c r="E8" t="str">
        <f>VLOOKUP(D8,normalize_categoria[#All],2,FALSE)</f>
        <v>CLT</v>
      </c>
      <c r="F8">
        <v>20.43</v>
      </c>
    </row>
    <row r="9" spans="2:6" x14ac:dyDescent="0.3">
      <c r="B9">
        <v>4</v>
      </c>
      <c r="C9">
        <v>123694</v>
      </c>
      <c r="D9" t="s">
        <v>4</v>
      </c>
      <c r="E9" t="str">
        <f>VLOOKUP(D9,normalize_categoria[#All],2,FALSE)</f>
        <v>CLT</v>
      </c>
      <c r="F9">
        <v>22.77</v>
      </c>
    </row>
    <row r="10" spans="2:6" x14ac:dyDescent="0.3">
      <c r="B10">
        <v>5</v>
      </c>
      <c r="C10">
        <v>148106</v>
      </c>
      <c r="D10" t="s">
        <v>4</v>
      </c>
      <c r="E10" t="str">
        <f>VLOOKUP(D10,normalize_categoria[#All],2,FALSE)</f>
        <v>CLT</v>
      </c>
      <c r="F10">
        <v>6.39</v>
      </c>
    </row>
    <row r="11" spans="2:6" x14ac:dyDescent="0.3">
      <c r="B11">
        <v>6</v>
      </c>
      <c r="C11">
        <v>139879</v>
      </c>
      <c r="D11" t="s">
        <v>4</v>
      </c>
      <c r="E11" t="str">
        <f>VLOOKUP(D11,normalize_categoria[#All],2,FALSE)</f>
        <v>CLT</v>
      </c>
      <c r="F11">
        <v>23.23</v>
      </c>
    </row>
    <row r="12" spans="2:6" x14ac:dyDescent="0.3">
      <c r="B12">
        <v>7</v>
      </c>
      <c r="C12">
        <v>130268</v>
      </c>
      <c r="D12" t="s">
        <v>5</v>
      </c>
      <c r="E12" t="str">
        <f>VLOOKUP(D12,normalize_categoria[#All],2,FALSE)</f>
        <v>Autônomo</v>
      </c>
      <c r="F12">
        <v>10.119999999999999</v>
      </c>
    </row>
    <row r="13" spans="2:6" x14ac:dyDescent="0.3">
      <c r="B13">
        <v>8</v>
      </c>
      <c r="C13">
        <v>96820</v>
      </c>
      <c r="D13" t="s">
        <v>5</v>
      </c>
      <c r="E13" t="str">
        <f>VLOOKUP(D13,normalize_categoria[#All],2,FALSE)</f>
        <v>Autônomo</v>
      </c>
      <c r="F13">
        <v>6.95</v>
      </c>
    </row>
    <row r="14" spans="2:6" x14ac:dyDescent="0.3">
      <c r="B14">
        <v>9</v>
      </c>
      <c r="C14">
        <v>74886</v>
      </c>
      <c r="D14" t="s">
        <v>4</v>
      </c>
      <c r="E14" t="str">
        <f>VLOOKUP(D14,normalize_categoria[#All],2,FALSE)</f>
        <v>CLT</v>
      </c>
      <c r="F14">
        <v>33.47</v>
      </c>
    </row>
    <row r="15" spans="2:6" x14ac:dyDescent="0.3">
      <c r="B15">
        <v>10</v>
      </c>
      <c r="C15">
        <v>26265</v>
      </c>
      <c r="D15" t="s">
        <v>4</v>
      </c>
      <c r="E15" t="str">
        <f>VLOOKUP(D15,normalize_categoria[#All],2,FALSE)</f>
        <v>CLT</v>
      </c>
      <c r="F15">
        <v>33.97</v>
      </c>
    </row>
    <row r="16" spans="2:6" x14ac:dyDescent="0.3">
      <c r="B16">
        <v>11</v>
      </c>
      <c r="C16">
        <v>102386</v>
      </c>
      <c r="D16" t="s">
        <v>5</v>
      </c>
      <c r="E16" t="str">
        <f>VLOOKUP(D16,normalize_categoria[#All],2,FALSE)</f>
        <v>Autônomo</v>
      </c>
      <c r="F16">
        <v>29.25</v>
      </c>
    </row>
    <row r="17" spans="2:6" x14ac:dyDescent="0.3">
      <c r="B17">
        <v>12</v>
      </c>
      <c r="C17">
        <v>148214</v>
      </c>
      <c r="D17" t="s">
        <v>5</v>
      </c>
      <c r="E17" t="str">
        <f>VLOOKUP(D17,normalize_categoria[#All],2,FALSE)</f>
        <v>Autônomo</v>
      </c>
      <c r="F17">
        <v>14.14</v>
      </c>
    </row>
    <row r="18" spans="2:6" x14ac:dyDescent="0.3">
      <c r="B18">
        <v>13</v>
      </c>
      <c r="C18">
        <v>57194</v>
      </c>
      <c r="D18" t="s">
        <v>5</v>
      </c>
      <c r="E18" t="str">
        <f>VLOOKUP(D18,normalize_categoria[#All],2,FALSE)</f>
        <v>Autônomo</v>
      </c>
      <c r="F18">
        <v>7.93</v>
      </c>
    </row>
    <row r="19" spans="2:6" x14ac:dyDescent="0.3">
      <c r="B19">
        <v>14</v>
      </c>
      <c r="C19">
        <v>107498</v>
      </c>
      <c r="D19" t="s">
        <v>6</v>
      </c>
      <c r="E19" t="str">
        <f>VLOOKUP(D19,normalize_categoria[#All],2,FALSE)</f>
        <v>Empresário</v>
      </c>
      <c r="F19">
        <v>25.53</v>
      </c>
    </row>
    <row r="20" spans="2:6" x14ac:dyDescent="0.3">
      <c r="B20">
        <v>15</v>
      </c>
      <c r="C20">
        <v>132727</v>
      </c>
      <c r="D20" t="s">
        <v>6</v>
      </c>
      <c r="E20" t="str">
        <f>VLOOKUP(D20,normalize_categoria[#All],2,FALSE)</f>
        <v>Empresário</v>
      </c>
      <c r="F20">
        <v>18.2</v>
      </c>
    </row>
    <row r="21" spans="2:6" x14ac:dyDescent="0.3">
      <c r="B21">
        <v>16</v>
      </c>
      <c r="C21">
        <v>146324</v>
      </c>
      <c r="D21" t="s">
        <v>6</v>
      </c>
      <c r="E21" t="str">
        <f>VLOOKUP(D21,normalize_categoria[#All],2,FALSE)</f>
        <v>Empresário</v>
      </c>
      <c r="F21">
        <v>8.66</v>
      </c>
    </row>
    <row r="22" spans="2:6" x14ac:dyDescent="0.3">
      <c r="B22">
        <v>17</v>
      </c>
      <c r="C22">
        <v>64131</v>
      </c>
      <c r="D22" t="s">
        <v>4</v>
      </c>
      <c r="E22" t="str">
        <f>VLOOKUP(D22,normalize_categoria[#All],2,FALSE)</f>
        <v>CLT</v>
      </c>
      <c r="F22">
        <v>19.86</v>
      </c>
    </row>
    <row r="23" spans="2:6" x14ac:dyDescent="0.3">
      <c r="B23">
        <v>18</v>
      </c>
      <c r="C23">
        <v>80263</v>
      </c>
      <c r="D23" t="s">
        <v>6</v>
      </c>
      <c r="E23" t="str">
        <f>VLOOKUP(D23,normalize_categoria[#All],2,FALSE)</f>
        <v>Empresário</v>
      </c>
      <c r="F23">
        <v>6.03</v>
      </c>
    </row>
    <row r="24" spans="2:6" x14ac:dyDescent="0.3">
      <c r="B24">
        <v>19</v>
      </c>
      <c r="C24">
        <v>36023</v>
      </c>
      <c r="D24" t="s">
        <v>4</v>
      </c>
      <c r="E24" t="str">
        <f>VLOOKUP(D24,normalize_categoria[#All],2,FALSE)</f>
        <v>CLT</v>
      </c>
      <c r="F24">
        <v>32.28</v>
      </c>
    </row>
    <row r="25" spans="2:6" x14ac:dyDescent="0.3">
      <c r="B25">
        <v>20</v>
      </c>
      <c r="C25">
        <v>61090</v>
      </c>
      <c r="D25" t="s">
        <v>4</v>
      </c>
      <c r="E25" t="str">
        <f>VLOOKUP(D25,normalize_categoria[#All],2,FALSE)</f>
        <v>CLT</v>
      </c>
      <c r="F25">
        <v>12.76</v>
      </c>
    </row>
  </sheetData>
  <autoFilter ref="E5:E25"/>
  <conditionalFormatting sqref="F6:F25">
    <cfRule type="expression" dxfId="1" priority="2">
      <formula>$F6 &gt;$E$2</formula>
    </cfRule>
  </conditionalFormatting>
  <conditionalFormatting sqref="E6:E25">
    <cfRule type="expression" dxfId="0" priority="1">
      <formula>$E$3=$E6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Base_normalização_Ctg_Prof!$B$2:$B$4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1" sqref="B11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4</v>
      </c>
      <c r="B2" t="s">
        <v>4</v>
      </c>
    </row>
    <row r="3" spans="1:2" x14ac:dyDescent="0.3">
      <c r="A3" t="s">
        <v>5</v>
      </c>
      <c r="B3" t="s">
        <v>7</v>
      </c>
    </row>
    <row r="4" spans="1:2" x14ac:dyDescent="0.3">
      <c r="A4" t="s">
        <v>6</v>
      </c>
      <c r="B4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dataset_impostos_case_situation</vt:lpstr>
      <vt:lpstr>Base_normalização_Ctg_Prof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sabo</dc:creator>
  <cp:lastModifiedBy>victor sabo</cp:lastModifiedBy>
  <dcterms:created xsi:type="dcterms:W3CDTF">2026-08-07T01:56:06Z</dcterms:created>
  <dcterms:modified xsi:type="dcterms:W3CDTF">2026-08-07T01:56:20Z</dcterms:modified>
</cp:coreProperties>
</file>